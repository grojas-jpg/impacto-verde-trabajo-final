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la Maestro Impacto Verde " sheetId="1" r:id="rId5"/>
  </sheets>
  <definedNames/>
  <calcPr/>
</workbook>
</file>

<file path=xl/sharedStrings.xml><?xml version="1.0" encoding="utf-8"?>
<sst xmlns="http://schemas.openxmlformats.org/spreadsheetml/2006/main" count="156" uniqueCount="111">
  <si>
    <t>Nº OT</t>
  </si>
  <si>
    <t>Cliente / Razón Social</t>
  </si>
  <si>
    <t>CUIT</t>
  </si>
  <si>
    <t>Fecha Inicio</t>
  </si>
  <si>
    <t>Fecha Fin</t>
  </si>
  <si>
    <t>Días Activos</t>
  </si>
  <si>
    <t>Cant MUPIS</t>
  </si>
  <si>
    <t>IDs Asignados</t>
  </si>
  <si>
    <t>Inversión Neta Mensual ($)</t>
  </si>
  <si>
    <t>Condición Pago</t>
  </si>
  <si>
    <t>Estado Registro</t>
  </si>
  <si>
    <t>Dictamen IA</t>
  </si>
  <si>
    <t>Observaciones IA</t>
  </si>
  <si>
    <t>JSON IA Original</t>
  </si>
  <si>
    <t>ID Respuesta</t>
  </si>
  <si>
    <t>Vendedor Declarado</t>
  </si>
  <si>
    <t>Anunciante / Marca</t>
  </si>
  <si>
    <t>Moneda</t>
  </si>
  <si>
    <t>Inversion Neta Total Declarada</t>
  </si>
  <si>
    <t>Fee Agencia o Descuento Declarado</t>
  </si>
  <si>
    <t>Modelo Configurado</t>
  </si>
  <si>
    <t>Tokens Entrada</t>
  </si>
  <si>
    <t>Tokens Salida</t>
  </si>
  <si>
    <t>Tokens Total</t>
  </si>
  <si>
    <t>Respuestas Formulario JSON</t>
  </si>
  <si>
    <t>Fecha Procesamiento</t>
  </si>
  <si>
    <t>Soportes Solicitados</t>
  </si>
  <si>
    <t>Spots por Hora</t>
  </si>
  <si>
    <t>Duracion Spot Segundos</t>
  </si>
  <si>
    <t>Nro OP Agencia</t>
  </si>
  <si>
    <t>Estado Ocupacion</t>
  </si>
  <si>
    <t>ID Campaña</t>
  </si>
  <si>
    <t>ID Vendedor</t>
  </si>
  <si>
    <t>Aprobado Por</t>
  </si>
  <si>
    <t>Fecha Aprobacion</t>
  </si>
  <si>
    <t>OT-2026-001</t>
  </si>
  <si>
    <t>Banco Macro S.A.</t>
  </si>
  <si>
    <t>30-50001008-9</t>
  </si>
  <si>
    <t>ID-01,ID-02,ID-03,ID-04,ID-05,ID-06,ID-07,ID-08,ID-09,ID-10</t>
  </si>
  <si>
    <t>30 días</t>
  </si>
  <si>
    <t>OT-2026-005</t>
  </si>
  <si>
    <t>Tortugas Open Mall S.A.</t>
  </si>
  <si>
    <t>30-71012345-6</t>
  </si>
  <si>
    <t>ID-01,ID-02,ID-03,ID-04,ID-05</t>
  </si>
  <si>
    <t>OT-2026-006</t>
  </si>
  <si>
    <t>Gout Gluten Free</t>
  </si>
  <si>
    <t>30-71123456-8</t>
  </si>
  <si>
    <t>ID-06,ID-07</t>
  </si>
  <si>
    <t>Por favor, proporciona el texto o los detalles de la Orden de Publicidad para que pueda extraer y organizar la información.</t>
  </si>
  <si>
    <t>OT-ACYDBNhIw8AA5r78d3HykzkoZ-k14ORGYyK4W-b-C_SqqKdMLUmy5OR2b_W84-vWSofGj90</t>
  </si>
  <si>
    <t>NIESI RICARDO MAXIMILIANO</t>
  </si>
  <si>
    <t>20-29396789-0</t>
  </si>
  <si>
    <t>2026-08-11</t>
  </si>
  <si>
    <t>2026-09-10</t>
  </si>
  <si>
    <t>31</t>
  </si>
  <si>
    <t/>
  </si>
  <si>
    <t>Contado</t>
  </si>
  <si>
    <t>BORRADOR_PENDIENTE_REVISION</t>
  </si>
  <si>
    <t>OBSERVADA</t>
  </si>
  <si>
    <t>La pauta se declara del 2026-08-11 al 2026-09-10, pero el formulario se envió el 2026-09-12. Requiere confirmación humana de si se trata de una regularización de pauta ya emitida. No posee orden adjunta para cotejar.</t>
  </si>
  <si>
    <t>{
  "version_contrato": "OT-INGRESO-1.0",
  "id_respuesta": "ACYDBNhIw8AA5r78d3HykzkoZ-k14ORGYyK4W-b-C_SqqKdMLUmy5OR2b_W84-vWSofGj90",
  "dictamen": "OBSERVADA",
  "cliente_razon_social": "NIESI RICARDO MAXIMILIANO",
  "cuit": "20-29396789-0",
  "anunciante_marca": "GOUT GOURMET",
  "vendedor_declarado": "VEN-001",
  "numero_op_agencia": "6-00002-00000009",
  "fecha_inicio": "2026-08-11",
  "fecha_fin": "2026-09-10",
  "dias_activos_propuestos": 31,
  "moneda": "ARS",
  "inversion_neta_total_declarada": 500000,
  "fee_agencia_o_descuento_declarado": "0%",
  "condicion_pago": "Contado",
  "soportes_solicitados": "MUPIS",
  "spots_por_hora": 1,
  "duracion_spot_segundos": 10,
  "adjuntos_presentes": false,
  "campos_faltantes": [],
  "alertas": [
    "Campaña retroactiva: la fecha de envío (2026-09-12) es posterior a la fecha de fin de la pauta (2026-09-10).",
    "Falta adjunto de la Orden de Publicidad (pregunta 114b8975)."
  ],
  "observaciones": "La pauta se declara del 2026-08-11 al 2026-09-10, pero el formulario se envió el 2026-09-12. Requiere confirmación humana de si se trata de una regularización de pauta ya emitida. No posee orden adjunta para cotejar.",
  "estado_ocupacion": "NO_VERIFICADA",
  "requiere_revision_humana": true
}</t>
  </si>
  <si>
    <t>ACYDBNhIw8AA5r78d3HykzkoZ-k14ORGYyK4W-b-C_SqqKdMLUmy5OR2b_W84-vWSofGj90</t>
  </si>
  <si>
    <t>VEN-001</t>
  </si>
  <si>
    <t>GOUT GOURMET</t>
  </si>
  <si>
    <t>ARS</t>
  </si>
  <si>
    <t>500000</t>
  </si>
  <si>
    <t>0%</t>
  </si>
  <si>
    <t>gemini-3.5-flash</t>
  </si>
  <si>
    <t>2896</t>
  </si>
  <si>
    <t>574</t>
  </si>
  <si>
    <t>6269</t>
  </si>
  <si>
    <t>{"16cf9efd":{"questionId":"16cf9efd","textAnswers":{"answers":[{"value":"2026-08-11"}]}},"1191e1b0":{"questionId":"1191e1b0","textAnswers":{"answers":[{"value":"0%"}]}},"33e3bbeb":{"questionId":"33e3bbeb","textAnswers":{"answers":[{"value":"6-00002-00000009"}]}},"754ca556":{"questionId":"754ca556","textAnswers":{"answers":[{"value":"ARS"}]}},"67fdefe8":{"questionId":"67fdefe8","textAnswers":{"answers":[{"value":"20-29396789-0"}]}},"29f9b1f2":{"questionId":"29f9b1f2","textAnswers":{"answers":[{"value":"GOUT GOURMET"}]}},"0494c4b3":{"questionId":"0494c4b3","textAnswers":{"answers":[{"value":"MUPIS"}]}},"5b1ae336":{"questionId":"5b1ae336","textAnswers":{"answers":[{"value":"10"}]}},"709ff886":{"questionId":"709ff886","textAnswers":{"answers":[{"value":"500000"}]}},"2e21d609":{"questionId":"2e21d609","textAnswers":{"answers":[{"value":"1"}]}},"71f6597f":{"questionId":"71f6597f","textAnswers":{"answers":[{"value":"VEN-001"}]}},"64e904d3":{"questionId":"64e904d3","textAnswers":{"answers":[{"value":"2026-09-10"}]}},"3f0a6712":{"questionId":"3f0a6712","textAnswers":{"answers":[{"value":"IV 3 - Cliente Directo"}]}},"57acc7a3":{"questionId":"57acc7a3","textAnswers":{"answers":[{"value":"NIESI RICARDO MAXIMILIANO"}]}},"429fb2bf":{"questionId":"429fb2bf","textAnswers":{"answers":[{"value":"Contado"}]}}}</t>
  </si>
  <si>
    <t>2026-09-13T20:07:14+00:00</t>
  </si>
  <si>
    <t>MUPIS</t>
  </si>
  <si>
    <t>1</t>
  </si>
  <si>
    <t>10</t>
  </si>
  <si>
    <t>6-00002-00000009</t>
  </si>
  <si>
    <t>NO_VERIFICADA</t>
  </si>
  <si>
    <t>OT-ACYDBNhSTHAfuXA9k029dlB-sMwpwTtDE2OmD-r2pZrFPyim-2vUHUK40aqhss3woIkzCLg</t>
  </si>
  <si>
    <t xml:space="preserve">Banco Macro </t>
  </si>
  <si>
    <t>2026-07-23</t>
  </si>
  <si>
    <t>2026-08-31</t>
  </si>
  <si>
    <t>40</t>
  </si>
  <si>
    <t>30 dias</t>
  </si>
  <si>
    <t>El período de la campaña ya transcurrió en su totalidad con respecto a la fecha de recepción del formulario (2026-09-13). Adicionalmente, no se adjuntó el documento físico/digital de la Orden de Publicidad. Requiere confirmación comercial urgente del vendedor sobre las fechas cargadas y la provisión del adjunto correspondiente. La ocupación de los soportes no ha sido verificada.</t>
  </si>
  <si>
    <t>{
  "version_contrato": "OT-INGRESO-1.0",
  "id_respuesta": "ACYDBNhSTHAfuXA9k029dlB-sMwpwTtDE2OmD-r2pZrFPyim-2vUHUK40aqhss3woIkzCLg",
  "dictamen": "OBSERVADA",
  "cliente_razon_social": "Banco Macro ",
  "cuit": "30-50001008-9",
  "anunciante_marca": "Banco Macro S.A.",
  "vendedor_declarado": "VEN-001",
  "numero_op_agencia": "2026-001",
  "fecha_inicio": "2026-07-23",
  "fecha_fin": "2026-08-31",
  "dias_activos_propuestos": 40,
  "moneda": "ARS",
  "inversion_neta_total_declarada": 2500000,
  "fee_agencia_o_descuento_declarado": "0%",
  "condicion_pago": "30 dias",
  "soportes_solicitados": "10 mupis",
  "spots_por_hora": 1,
  "duracion_spot_segundos": 10,
  "adjuntos_presentes": false,
  "campos_faltantes": [
    "114b8975"
  ],
  "alertas": [
    "La fecha de inicio (2026-07-23) y fin (2026-08-31) son anteriores a la fecha de envío del formulario (2026-09-13).",
    "Falta el archivo adjunto de la Orden de Publicidad (pregunta 114b8975)."
  ],
  "observaciones": "El período de la campaña ya transcurrió en su totalidad con respecto a la fecha de recepción del formulario (2026-09-13). Adicionalmente, no se adjuntó el documento físico/digital de la Orden de Publicidad. Requiere confirmación comercial urgente del vendedor sobre las fechas cargadas y la provisión del adjunto correspondiente. La ocupación de los soportes no ha sido verificada.",
  "estado_ocupacion": "NO_VERIFICADA",
  "requiere_revision_humana": true
}</t>
  </si>
  <si>
    <t>ACYDBNhSTHAfuXA9k029dlB-sMwpwTtDE2OmD-r2pZrFPyim-2vUHUK40aqhss3woIkzCLg</t>
  </si>
  <si>
    <t>2500000</t>
  </si>
  <si>
    <t>2879</t>
  </si>
  <si>
    <t>592</t>
  </si>
  <si>
    <t>6339</t>
  </si>
  <si>
    <t>{"16cf9efd":{"questionId":"16cf9efd","textAnswers":{"answers":[{"value":"2026-07-23"}]}},"1191e1b0":{"questionId":"1191e1b0","textAnswers":{"answers":[{"value":"0%"}]}},"33e3bbeb":{"questionId":"33e3bbeb","textAnswers":{"answers":[{"value":"2026-001"}]}},"754ca556":{"questionId":"754ca556","textAnswers":{"answers":[{"value":"ARS"}]}},"67fdefe8":{"questionId":"67fdefe8","textAnswers":{"answers":[{"value":"30-50001008-9"}]}},"29f9b1f2":{"questionId":"29f9b1f2","textAnswers":{"answers":[{"value":"Banco Macro S.A."}]}},"0494c4b3":{"questionId":"0494c4b3","textAnswers":{"answers":[{"value":"10 mupis"}]}},"5b1ae336":{"questionId":"5b1ae336","textAnswers":{"answers":[{"value":"10"}]}},"709ff886":{"questionId":"709ff886","textAnswers":{"answers":[{"value":"2500000"}]}},"2e21d609":{"questionId":"2e21d609","textAnswers":{"answers":[{"value":"1"}]}},"71f6597f":{"questionId":"71f6597f","textAnswers":{"answers":[{"value":"VEN-001"}]}},"64e904d3":{"questionId":"64e904d3","textAnswers":{"answers":[{"value":"2026-08-31"}]}},"3f0a6712":{"questionId":"3f0a6712","textAnswers":{"answers":[{"value":"IV 3 - Cliente Directo"}]}},"57acc7a3":{"questionId":"57acc7a3","textAnswers":{"answers":[{"value":"Banco Macro "}]}},"429fb2bf":{"questionId":"429fb2bf","textAnswers":{"answers":[{"value":"30 dias"}]}}}</t>
  </si>
  <si>
    <t>2026-09-13T21:09:18+00:00</t>
  </si>
  <si>
    <t>10 mupis</t>
  </si>
  <si>
    <t>2026-001</t>
  </si>
  <si>
    <t>OT-ACYDBNjlrS7Cfn2JPO0T1tEeq1sgvgeVrNrfLnRmwFisOM0cuyzFx61nhXcZvgNFGxhrwj8</t>
  </si>
  <si>
    <t>2026-08-10</t>
  </si>
  <si>
    <t>2026-09-09</t>
  </si>
  <si>
    <t>60 dias F.F.</t>
  </si>
  <si>
    <t>La orden de publicidad fue enviada el 13 de septiembre de 2026, pero la pauta declarada finalizó el 9 de septiembre de 2026. Se requiere verificación humana urgente para confirmar si corresponde a una carga histórica de regularización. Adicionalmente, el cliente no adjuntó la orden digital de respaldo.</t>
  </si>
  <si>
    <t>{
  "version_contrato": "OT-INGRESO-1.0",
  "id_respuesta": "ACYDBNjlrS7Cfn2JPO0T1tEeq1sgvgeVrNrfLnRmwFisOM0cuyzFx61nhXcZvgNFGxhrwj8",
  "dictamen": "OBSERVADA",
  "cliente_razon_social": "Tortugas Open Mall S.A.",
  "cuit": "30-71012345-6",
  "anunciante_marca": "Tortugas Open Mall S.A",
  "vendedor_declarado": "VEN-001",
  "numero_op_agencia": "2026-005",
  "fecha_inicio": "2026-08-10",
  "fecha_fin": "2026-09-09",
  "dias_activos_propuestos": 31,
  "moneda": "ARS",
  "inversion_neta_total_declarada": 1250000,
  "fee_agencia_o_descuento_declarado": "0%",
  "condicion_pago": "60 dias F.F.",
  "soportes_solicitados": "5",
  "spots_por_hora": 1,
  "duracion_spot_segundos": 10,
  "adjuntos_presentes": false,
  "campos_faltantes": [
    "114b8975: Adjuntar Orden de Publicidad (PDF o Imagen)"
  ],
  "alertas": [
    "Carga retroactiva detectada: las fechas de inicio (2026-08-10) y fin (2026-09-09) de la campaña son anteriores a la fecha de envío del formulario (2026-09-13).",
    "Falta adjunto obligatorio: no se encontró archivo de respaldo en el campo 114b8975."
  ],
  "observaciones": "La orden de publicidad fue enviada el 13 de septiembre de 2026, pero la pauta declarada finalizó el 9 de septiembre de 2026. Se requiere verificación humana urgente para confirmar si corresponde a una carga histórica de regularización. Adicionalmente, el cliente no adjuntó la orden digital de respaldo.",
  "estado_ocupacion": "NO_VERIFICADA",
  "requiere_revision_humana": true
}</t>
  </si>
  <si>
    <t>ACYDBNjlrS7Cfn2JPO0T1tEeq1sgvgeVrNrfLnRmwFisOM0cuyzFx61nhXcZvgNFGxhrwj8</t>
  </si>
  <si>
    <t>Tortugas Open Mall S.A</t>
  </si>
  <si>
    <t>1250000</t>
  </si>
  <si>
    <t>2882</t>
  </si>
  <si>
    <t>602</t>
  </si>
  <si>
    <t>6167</t>
  </si>
  <si>
    <t>{"16cf9efd":{"questionId":"16cf9efd","textAnswers":{"answers":[{"value":"2026-08-10"}]}},"1191e1b0":{"questionId":"1191e1b0","textAnswers":{"answers":[{"value":"0%"}]}},"33e3bbeb":{"questionId":"33e3bbeb","textAnswers":{"answers":[{"value":"2026-005"}]}},"754ca556":{"questionId":"754ca556","textAnswers":{"answers":[{"value":"ARS"}]}},"67fdefe8":{"questionId":"67fdefe8","textAnswers":{"answers":[{"value":"30-71012345-6"}]}},"29f9b1f2":{"questionId":"29f9b1f2","textAnswers":{"answers":[{"value":"Tortugas Open Mall S.A"}]}},"709ff886":{"questionId":"709ff886","textAnswers":{"answers":[{"value":"1250000"}]}},"0494c4b3":{"questionId":"0494c4b3","textAnswers":{"answers":[{"value":"5"}]}},"5b1ae336":{"questionId":"5b1ae336","textAnswers":{"answers":[{"value":"10"}]}},"2e21d609":{"questionId":"2e21d609","textAnswers":{"answers":[{"value":"1"}]}},"71f6597f":{"questionId":"71f6597f","textAnswers":{"answers":[{"value":"VEN-001"}]}},"64e904d3":{"questionId":"64e904d3","textAnswers":{"answers":[{"value":"2026-09-09"}]}},"57acc7a3":{"questionId":"57acc7a3","textAnswers":{"answers":[{"value":"Tortugas Open Mall S.A."}]}},"3f0a6712":{"questionId":"3f0a6712","textAnswers":{"answers":[{"value":"IV 2 - Agencia Chica"}]}},"429fb2bf":{"questionId":"429fb2bf","textAnswers":{"answers":[{"value":"60 dias F.F."}]}}}</t>
  </si>
  <si>
    <t>2026-09-13T21:13:26+00:00</t>
  </si>
  <si>
    <t>5</t>
  </si>
  <si>
    <t>2026-005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</si>
</sst>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8" max="8" width="16.5"/>
    <col customWidth="1" min="14" max="14" width="17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 t="s">
        <v>35</v>
      </c>
      <c r="B2" s="1" t="s">
        <v>36</v>
      </c>
      <c r="C2" s="1" t="s">
        <v>37</v>
      </c>
      <c r="D2" s="2">
        <v>46226.0</v>
      </c>
      <c r="E2" s="2">
        <v>46265.0</v>
      </c>
      <c r="F2" s="3">
        <f t="shared" ref="F2:F4" si="1">IF(OR(ISBLANK(D2),ISBLANK(E2)),0,(E2-D2)+1)</f>
        <v>40</v>
      </c>
      <c r="G2" s="1">
        <v>10.0</v>
      </c>
      <c r="H2" s="1" t="s">
        <v>38</v>
      </c>
      <c r="I2" s="1">
        <v>2500000.0</v>
      </c>
      <c r="J2" s="1" t="s">
        <v>39</v>
      </c>
    </row>
    <row r="3">
      <c r="A3" s="1" t="s">
        <v>40</v>
      </c>
      <c r="B3" s="1" t="s">
        <v>41</v>
      </c>
      <c r="C3" s="1" t="s">
        <v>42</v>
      </c>
      <c r="D3" s="2">
        <v>46244.0</v>
      </c>
      <c r="E3" s="2">
        <v>46274.0</v>
      </c>
      <c r="F3" s="3">
        <f t="shared" si="1"/>
        <v>31</v>
      </c>
      <c r="G3" s="1">
        <v>5.0</v>
      </c>
      <c r="H3" s="1" t="s">
        <v>43</v>
      </c>
      <c r="I3" s="1">
        <v>1250000.0</v>
      </c>
      <c r="J3" s="1" t="s">
        <v>39</v>
      </c>
    </row>
    <row r="4">
      <c r="A4" s="1" t="s">
        <v>44</v>
      </c>
      <c r="B4" s="1" t="s">
        <v>45</v>
      </c>
      <c r="C4" s="1" t="s">
        <v>46</v>
      </c>
      <c r="D4" s="2">
        <v>46266.0</v>
      </c>
      <c r="E4" s="2">
        <v>46295.0</v>
      </c>
      <c r="F4" s="3">
        <f t="shared" si="1"/>
        <v>30</v>
      </c>
      <c r="G4" s="1">
        <v>2.0</v>
      </c>
      <c r="H4" s="1" t="s">
        <v>47</v>
      </c>
      <c r="I4" s="1">
        <v>450000.0</v>
      </c>
      <c r="J4" s="1" t="s">
        <v>39</v>
      </c>
    </row>
    <row r="5">
      <c r="A5" s="1" t="s">
        <v>48</v>
      </c>
      <c r="B5" s="1"/>
      <c r="C5" s="1"/>
      <c r="D5" s="2"/>
      <c r="E5" s="2"/>
      <c r="G5" s="1"/>
      <c r="H5" s="1"/>
      <c r="I5" s="1"/>
      <c r="J5" s="1"/>
    </row>
    <row r="6" ht="26.25" customHeight="1">
      <c r="A6" s="1" t="s">
        <v>49</v>
      </c>
      <c r="B6" s="1" t="s">
        <v>50</v>
      </c>
      <c r="C6" s="1" t="s">
        <v>51</v>
      </c>
      <c r="D6" s="4" t="s">
        <v>52</v>
      </c>
      <c r="E6" s="4" t="s">
        <v>53</v>
      </c>
      <c r="F6" s="4" t="s">
        <v>54</v>
      </c>
      <c r="G6" s="1" t="s">
        <v>55</v>
      </c>
      <c r="H6" s="1" t="s">
        <v>55</v>
      </c>
      <c r="I6" s="1" t="s">
        <v>55</v>
      </c>
      <c r="J6" s="1" t="s">
        <v>56</v>
      </c>
      <c r="K6" s="1" t="s">
        <v>57</v>
      </c>
      <c r="L6" s="1" t="s">
        <v>58</v>
      </c>
      <c r="M6" s="1" t="s">
        <v>59</v>
      </c>
      <c r="N6" s="1" t="s">
        <v>60</v>
      </c>
      <c r="O6" s="1" t="s">
        <v>61</v>
      </c>
      <c r="P6" s="1" t="s">
        <v>62</v>
      </c>
      <c r="Q6" s="1" t="s">
        <v>63</v>
      </c>
      <c r="R6" s="1" t="s">
        <v>64</v>
      </c>
      <c r="S6" s="4" t="s">
        <v>65</v>
      </c>
      <c r="T6" s="4" t="s">
        <v>66</v>
      </c>
      <c r="U6" s="1" t="s">
        <v>67</v>
      </c>
      <c r="V6" s="4" t="s">
        <v>68</v>
      </c>
      <c r="W6" s="4" t="s">
        <v>69</v>
      </c>
      <c r="X6" s="4" t="s">
        <v>70</v>
      </c>
      <c r="Y6" s="1" t="s">
        <v>71</v>
      </c>
      <c r="Z6" s="1" t="s">
        <v>72</v>
      </c>
      <c r="AA6" s="1" t="s">
        <v>73</v>
      </c>
      <c r="AB6" s="4" t="s">
        <v>74</v>
      </c>
      <c r="AC6" s="4" t="s">
        <v>75</v>
      </c>
      <c r="AD6" s="1" t="s">
        <v>76</v>
      </c>
      <c r="AE6" s="1" t="s">
        <v>77</v>
      </c>
      <c r="AF6" s="1" t="s">
        <v>55</v>
      </c>
      <c r="AG6" s="1" t="s">
        <v>55</v>
      </c>
      <c r="AH6" s="1" t="s">
        <v>55</v>
      </c>
      <c r="AI6" s="1" t="s">
        <v>55</v>
      </c>
    </row>
    <row r="7" ht="26.25" customHeight="1">
      <c r="A7" s="1" t="s">
        <v>78</v>
      </c>
      <c r="B7" s="1" t="s">
        <v>79</v>
      </c>
      <c r="C7" s="1" t="s">
        <v>37</v>
      </c>
      <c r="D7" s="4" t="s">
        <v>80</v>
      </c>
      <c r="E7" s="4" t="s">
        <v>81</v>
      </c>
      <c r="F7" s="4" t="s">
        <v>82</v>
      </c>
      <c r="G7" s="1" t="s">
        <v>55</v>
      </c>
      <c r="H7" s="1" t="s">
        <v>55</v>
      </c>
      <c r="I7" s="1" t="s">
        <v>55</v>
      </c>
      <c r="J7" s="1" t="s">
        <v>83</v>
      </c>
      <c r="K7" s="1" t="s">
        <v>57</v>
      </c>
      <c r="L7" s="1" t="s">
        <v>58</v>
      </c>
      <c r="M7" s="1" t="s">
        <v>84</v>
      </c>
      <c r="N7" s="1" t="s">
        <v>85</v>
      </c>
      <c r="O7" s="1" t="s">
        <v>86</v>
      </c>
      <c r="P7" s="1" t="s">
        <v>62</v>
      </c>
      <c r="Q7" s="1" t="s">
        <v>36</v>
      </c>
      <c r="R7" s="1" t="s">
        <v>64</v>
      </c>
      <c r="S7" s="4" t="s">
        <v>87</v>
      </c>
      <c r="T7" s="4" t="s">
        <v>66</v>
      </c>
      <c r="U7" s="1" t="s">
        <v>67</v>
      </c>
      <c r="V7" s="4" t="s">
        <v>88</v>
      </c>
      <c r="W7" s="4" t="s">
        <v>89</v>
      </c>
      <c r="X7" s="4" t="s">
        <v>90</v>
      </c>
      <c r="Y7" s="1" t="s">
        <v>91</v>
      </c>
      <c r="Z7" s="1" t="s">
        <v>92</v>
      </c>
      <c r="AA7" s="1" t="s">
        <v>93</v>
      </c>
      <c r="AB7" s="4" t="s">
        <v>74</v>
      </c>
      <c r="AC7" s="4" t="s">
        <v>75</v>
      </c>
      <c r="AD7" s="1" t="s">
        <v>94</v>
      </c>
      <c r="AE7" s="1" t="s">
        <v>77</v>
      </c>
      <c r="AF7" s="1" t="s">
        <v>55</v>
      </c>
      <c r="AG7" s="1" t="s">
        <v>55</v>
      </c>
      <c r="AH7" s="1" t="s">
        <v>55</v>
      </c>
      <c r="AI7" s="1" t="s">
        <v>55</v>
      </c>
    </row>
    <row r="8" ht="26.25" customHeight="1">
      <c r="A8" s="1" t="s">
        <v>95</v>
      </c>
      <c r="B8" s="1" t="s">
        <v>41</v>
      </c>
      <c r="C8" s="1" t="s">
        <v>42</v>
      </c>
      <c r="D8" s="4" t="s">
        <v>96</v>
      </c>
      <c r="E8" s="4" t="s">
        <v>97</v>
      </c>
      <c r="F8" s="4" t="s">
        <v>54</v>
      </c>
      <c r="G8" s="1" t="s">
        <v>55</v>
      </c>
      <c r="H8" s="1" t="s">
        <v>55</v>
      </c>
      <c r="I8" s="1" t="s">
        <v>55</v>
      </c>
      <c r="J8" s="1" t="s">
        <v>98</v>
      </c>
      <c r="K8" s="1" t="s">
        <v>57</v>
      </c>
      <c r="L8" s="1" t="s">
        <v>58</v>
      </c>
      <c r="M8" s="1" t="s">
        <v>99</v>
      </c>
      <c r="N8" s="1" t="s">
        <v>100</v>
      </c>
      <c r="O8" s="1" t="s">
        <v>101</v>
      </c>
      <c r="P8" s="1" t="s">
        <v>62</v>
      </c>
      <c r="Q8" s="1" t="s">
        <v>102</v>
      </c>
      <c r="R8" s="1" t="s">
        <v>64</v>
      </c>
      <c r="S8" s="4" t="s">
        <v>103</v>
      </c>
      <c r="T8" s="4" t="s">
        <v>66</v>
      </c>
      <c r="U8" s="1" t="s">
        <v>67</v>
      </c>
      <c r="V8" s="4" t="s">
        <v>104</v>
      </c>
      <c r="W8" s="4" t="s">
        <v>105</v>
      </c>
      <c r="X8" s="4" t="s">
        <v>106</v>
      </c>
      <c r="Y8" s="1" t="s">
        <v>107</v>
      </c>
      <c r="Z8" s="1" t="s">
        <v>108</v>
      </c>
      <c r="AA8" s="4" t="s">
        <v>109</v>
      </c>
      <c r="AB8" s="4" t="s">
        <v>74</v>
      </c>
      <c r="AC8" s="4" t="s">
        <v>75</v>
      </c>
      <c r="AD8" s="1" t="s">
        <v>110</v>
      </c>
      <c r="AE8" s="1" t="s">
        <v>77</v>
      </c>
      <c r="AF8" s="1" t="s">
        <v>55</v>
      </c>
      <c r="AG8" s="1" t="s">
        <v>55</v>
      </c>
      <c r="AH8" s="1" t="s">
        <v>55</v>
      </c>
      <c r="AI8" s="1" t="s">
        <v>55</v>
      </c>
    </row>
  </sheetData>
  <conditionalFormatting sqref="A6:AI8">
    <cfRule type="notContainsBlanks" dxfId="0" priority="1">
      <formula>LEN(TRIM(A6))&gt;0</formula>
    </cfRule>
  </conditionalFormatting>
  <drawing r:id="rId1"/>
</worksheet>
</file>